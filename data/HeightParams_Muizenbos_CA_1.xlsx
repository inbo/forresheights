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3BR\4_LiedekSevendMuizenbHarras\!Verwerking\4Muizenbos\2AanmaakDHcurves\"/>
    </mc:Choice>
  </mc:AlternateContent>
  <xr:revisionPtr revIDLastSave="0" documentId="13_ncr:1_{0DB69F37-C4B2-4DB6-856B-CB851B8E569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log" sheetId="1" r:id="rId1"/>
    <sheet name="ex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" i="2" l="1"/>
  <c r="R4" i="2" l="1"/>
  <c r="R5" i="2"/>
  <c r="R6" i="2"/>
  <c r="R7" i="2"/>
  <c r="R8" i="2"/>
  <c r="R9" i="2"/>
  <c r="R10" i="2"/>
  <c r="R11" i="2"/>
  <c r="R12" i="2"/>
  <c r="R13" i="2"/>
  <c r="R3" i="2"/>
  <c r="Q14" i="2"/>
  <c r="Q4" i="2"/>
  <c r="Q5" i="2"/>
  <c r="Q6" i="2"/>
  <c r="Q7" i="2"/>
  <c r="Q8" i="2"/>
  <c r="Q9" i="2"/>
  <c r="Q10" i="2"/>
  <c r="Q11" i="2"/>
  <c r="Q12" i="2"/>
  <c r="Q13" i="2"/>
  <c r="Q3" i="2"/>
  <c r="K3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2" i="2"/>
</calcChain>
</file>

<file path=xl/sharedStrings.xml><?xml version="1.0" encoding="utf-8"?>
<sst xmlns="http://schemas.openxmlformats.org/spreadsheetml/2006/main" count="207" uniqueCount="27">
  <si>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</si>
  <si>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</si>
  <si>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</si>
  <si>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</si>
  <si>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</si>
  <si>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</si>
  <si>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</si>
  <si>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</si>
  <si>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</si>
  <si>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</si>
  <si>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h=1,3+P1+P2*ln(d)</t>
  </si>
  <si>
    <t>global</t>
  </si>
  <si>
    <t>adjusted global</t>
  </si>
  <si>
    <t>local</t>
  </si>
  <si>
    <t>BR</t>
  </si>
  <si>
    <t>Brondata</t>
  </si>
  <si>
    <t>Verklaring</t>
  </si>
  <si>
    <t>Muizenbos</t>
  </si>
  <si>
    <t>1eSET+2eSET</t>
  </si>
  <si>
    <t>eigen curve: voldoende bomen voor de soort beschikbaar</t>
  </si>
  <si>
    <t>h=1,3+exp(P1+P2/d)</t>
  </si>
  <si>
    <t>R log</t>
  </si>
  <si>
    <t>R verschil</t>
  </si>
  <si>
    <t>Rlog</t>
  </si>
  <si>
    <t>Rexp</t>
  </si>
  <si>
    <t>adjusted_all_species</t>
  </si>
  <si>
    <t>globale hoogtecurve van geclusterde soorten, intercept aangepast aan soort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</si>
</sst>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L17" sqref="L17:L20"/>
    </sheetView>
  </sheetViews>
  <sheetFormatPr defaultRowHeight="15" x14ac:dyDescent="0.25"/>
  <cols>
    <col min="4" max="4" width="17.28515625" customWidth="1"/>
    <col min="11" max="11" width="19.140625" customWidth="1"/>
    <col min="12" max="12" width="65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16</v>
      </c>
    </row>
    <row r="2" spans="1:12" x14ac:dyDescent="0.25">
      <c r="A2" t="s">
        <v>9</v>
      </c>
      <c r="B2" t="s">
        <v>9</v>
      </c>
      <c r="C2" t="s">
        <v>10</v>
      </c>
      <c r="D2" t="s">
        <v>11</v>
      </c>
      <c r="E2">
        <v>-17.249500999999999</v>
      </c>
      <c r="F2">
        <v>12.445027</v>
      </c>
      <c r="G2">
        <v>0.95499999999999996</v>
      </c>
      <c r="H2">
        <v>2.9550000000000001</v>
      </c>
      <c r="I2">
        <v>855</v>
      </c>
      <c r="J2" t="s">
        <v>17</v>
      </c>
      <c r="K2" s="1" t="s">
        <v>18</v>
      </c>
      <c r="L2" s="1" t="s">
        <v>19</v>
      </c>
    </row>
    <row r="3" spans="1:12" x14ac:dyDescent="0.25">
      <c r="A3" t="s">
        <v>9</v>
      </c>
      <c r="B3">
        <v>14</v>
      </c>
      <c r="C3" t="s">
        <v>10</v>
      </c>
      <c r="D3" t="s">
        <v>11</v>
      </c>
      <c r="E3">
        <v>-10.252046</v>
      </c>
      <c r="F3">
        <v>9.9985494999999993</v>
      </c>
      <c r="G3">
        <v>0.96599999999999997</v>
      </c>
      <c r="H3">
        <v>1.9810000000000001</v>
      </c>
      <c r="I3">
        <v>332</v>
      </c>
      <c r="J3" t="s">
        <v>17</v>
      </c>
      <c r="K3" s="1" t="s">
        <v>18</v>
      </c>
      <c r="L3" s="1" t="s">
        <v>19</v>
      </c>
    </row>
    <row r="4" spans="1:12" x14ac:dyDescent="0.25">
      <c r="A4" t="s">
        <v>9</v>
      </c>
      <c r="B4">
        <v>16</v>
      </c>
      <c r="C4" t="s">
        <v>10</v>
      </c>
      <c r="D4" t="s">
        <v>11</v>
      </c>
      <c r="E4">
        <v>-7.5240831999999997</v>
      </c>
      <c r="F4">
        <v>7.8308415</v>
      </c>
      <c r="G4">
        <v>0.84699999999999998</v>
      </c>
      <c r="H4">
        <v>1.6220000000000001</v>
      </c>
      <c r="I4">
        <v>50</v>
      </c>
      <c r="J4" t="s">
        <v>17</v>
      </c>
      <c r="K4" s="1" t="s">
        <v>18</v>
      </c>
      <c r="L4" s="1" t="s">
        <v>19</v>
      </c>
    </row>
    <row r="5" spans="1:12" x14ac:dyDescent="0.25">
      <c r="A5" t="s">
        <v>9</v>
      </c>
      <c r="B5">
        <v>23</v>
      </c>
      <c r="C5" t="s">
        <v>10</v>
      </c>
      <c r="D5" t="s">
        <v>11</v>
      </c>
      <c r="E5">
        <v>-2.8870046999999999</v>
      </c>
      <c r="F5">
        <v>5.5475488000000004</v>
      </c>
      <c r="G5">
        <v>0.83199999999999996</v>
      </c>
      <c r="H5">
        <v>1.1559999999999999</v>
      </c>
      <c r="I5">
        <v>15</v>
      </c>
      <c r="J5" t="s">
        <v>17</v>
      </c>
      <c r="K5" s="1" t="s">
        <v>18</v>
      </c>
      <c r="L5" s="1" t="s">
        <v>19</v>
      </c>
    </row>
    <row r="6" spans="1:12" x14ac:dyDescent="0.25">
      <c r="A6" t="s">
        <v>9</v>
      </c>
      <c r="B6">
        <v>28</v>
      </c>
      <c r="C6" t="s">
        <v>10</v>
      </c>
      <c r="D6" t="s">
        <v>11</v>
      </c>
      <c r="E6">
        <v>-0.81150871000000002</v>
      </c>
      <c r="F6">
        <v>4.0693995000000003</v>
      </c>
      <c r="G6">
        <v>0.61299999999999999</v>
      </c>
      <c r="H6">
        <v>1.3740000000000001</v>
      </c>
      <c r="I6">
        <v>157</v>
      </c>
      <c r="J6" t="s">
        <v>17</v>
      </c>
      <c r="K6" s="1" t="s">
        <v>18</v>
      </c>
      <c r="L6" s="1" t="s">
        <v>19</v>
      </c>
    </row>
    <row r="7" spans="1:12" x14ac:dyDescent="0.25">
      <c r="A7" t="s">
        <v>9</v>
      </c>
      <c r="B7">
        <v>39</v>
      </c>
      <c r="C7" t="s">
        <v>10</v>
      </c>
      <c r="D7" t="s">
        <v>11</v>
      </c>
      <c r="E7">
        <v>-2.3634216000000001</v>
      </c>
      <c r="F7">
        <v>4.9186969999999999</v>
      </c>
      <c r="G7">
        <v>0.47399999999999998</v>
      </c>
      <c r="H7">
        <v>1.23</v>
      </c>
      <c r="I7">
        <v>10</v>
      </c>
      <c r="J7" t="s">
        <v>17</v>
      </c>
      <c r="K7" s="1" t="s">
        <v>18</v>
      </c>
      <c r="L7" s="1" t="s">
        <v>19</v>
      </c>
    </row>
    <row r="8" spans="1:12" x14ac:dyDescent="0.25">
      <c r="A8" t="s">
        <v>9</v>
      </c>
      <c r="B8">
        <v>4113</v>
      </c>
      <c r="C8" t="s">
        <v>10</v>
      </c>
      <c r="D8" t="s">
        <v>11</v>
      </c>
      <c r="E8">
        <v>-3.7255842000000001</v>
      </c>
      <c r="F8">
        <v>4.8039538000000004</v>
      </c>
      <c r="G8">
        <v>0.81200000000000006</v>
      </c>
      <c r="H8">
        <v>1.1619999999999999</v>
      </c>
      <c r="I8">
        <v>4</v>
      </c>
      <c r="J8" t="s">
        <v>17</v>
      </c>
      <c r="K8" s="1" t="s">
        <v>18</v>
      </c>
      <c r="L8" s="1" t="s">
        <v>19</v>
      </c>
    </row>
    <row r="9" spans="1:12" x14ac:dyDescent="0.25">
      <c r="A9" t="s">
        <v>9</v>
      </c>
      <c r="B9">
        <v>41</v>
      </c>
      <c r="C9" t="s">
        <v>10</v>
      </c>
      <c r="D9" t="s">
        <v>11</v>
      </c>
      <c r="E9">
        <v>-3.7255842000000001</v>
      </c>
      <c r="F9">
        <v>4.8039538000000004</v>
      </c>
      <c r="G9">
        <v>0.81200000000000006</v>
      </c>
      <c r="H9">
        <v>1.1619999999999999</v>
      </c>
      <c r="I9">
        <v>4</v>
      </c>
      <c r="J9" t="s">
        <v>17</v>
      </c>
      <c r="K9" s="1" t="s">
        <v>18</v>
      </c>
      <c r="L9" s="1" t="s">
        <v>19</v>
      </c>
    </row>
    <row r="10" spans="1:12" x14ac:dyDescent="0.25">
      <c r="A10" t="s">
        <v>9</v>
      </c>
      <c r="B10">
        <v>13</v>
      </c>
      <c r="C10" t="s">
        <v>10</v>
      </c>
      <c r="D10" t="s">
        <v>11</v>
      </c>
      <c r="E10">
        <v>-3.7255842000000001</v>
      </c>
      <c r="F10">
        <v>4.8039538000000004</v>
      </c>
      <c r="G10">
        <v>0.81200000000000006</v>
      </c>
      <c r="H10">
        <v>1.1619999999999999</v>
      </c>
      <c r="I10">
        <v>4</v>
      </c>
      <c r="J10" t="s">
        <v>17</v>
      </c>
      <c r="K10" s="1" t="s">
        <v>18</v>
      </c>
      <c r="L10" s="1" t="s">
        <v>19</v>
      </c>
    </row>
    <row r="11" spans="1:12" x14ac:dyDescent="0.25">
      <c r="A11" t="s">
        <v>9</v>
      </c>
      <c r="B11">
        <v>51</v>
      </c>
      <c r="C11" t="s">
        <v>10</v>
      </c>
      <c r="D11" t="s">
        <v>11</v>
      </c>
      <c r="E11">
        <v>14.437085</v>
      </c>
      <c r="F11">
        <v>5.1916165999999997</v>
      </c>
      <c r="G11">
        <v>0.42099999999999999</v>
      </c>
      <c r="H11">
        <v>1.2529999999999999</v>
      </c>
      <c r="I11">
        <v>106</v>
      </c>
      <c r="J11" t="s">
        <v>17</v>
      </c>
      <c r="K11" s="1" t="s">
        <v>18</v>
      </c>
      <c r="L11" s="1" t="s">
        <v>19</v>
      </c>
    </row>
    <row r="12" spans="1:12" x14ac:dyDescent="0.25">
      <c r="A12" t="s">
        <v>9</v>
      </c>
      <c r="B12">
        <v>77</v>
      </c>
      <c r="C12" t="s">
        <v>10</v>
      </c>
      <c r="D12" t="s">
        <v>11</v>
      </c>
      <c r="E12">
        <v>-3.9875061000000001</v>
      </c>
      <c r="F12">
        <v>5.9801602000000003</v>
      </c>
      <c r="G12">
        <v>0.71399999999999997</v>
      </c>
      <c r="H12">
        <v>1.8839999999999999</v>
      </c>
      <c r="I12">
        <v>18</v>
      </c>
      <c r="J12" t="s">
        <v>17</v>
      </c>
      <c r="K12" s="1" t="s">
        <v>18</v>
      </c>
      <c r="L12" s="1" t="s">
        <v>19</v>
      </c>
    </row>
    <row r="13" spans="1:12" x14ac:dyDescent="0.25">
      <c r="A13" t="s">
        <v>9</v>
      </c>
      <c r="B13">
        <v>81</v>
      </c>
      <c r="C13" t="s">
        <v>10</v>
      </c>
      <c r="D13" t="s">
        <v>11</v>
      </c>
      <c r="E13">
        <v>-6.1889683</v>
      </c>
      <c r="F13">
        <v>6.7828505000000003</v>
      </c>
      <c r="G13">
        <v>0.91200000000000003</v>
      </c>
      <c r="H13">
        <v>1.23</v>
      </c>
      <c r="I13">
        <v>8</v>
      </c>
      <c r="J13" t="s">
        <v>17</v>
      </c>
      <c r="K13" s="1" t="s">
        <v>18</v>
      </c>
      <c r="L13" s="1" t="s">
        <v>19</v>
      </c>
    </row>
    <row r="14" spans="1:12" x14ac:dyDescent="0.25">
      <c r="A14" t="s">
        <v>9</v>
      </c>
      <c r="B14">
        <v>86</v>
      </c>
      <c r="C14" t="s">
        <v>10</v>
      </c>
      <c r="D14" t="s">
        <v>11</v>
      </c>
      <c r="E14">
        <v>-3.6251896000000001</v>
      </c>
      <c r="F14">
        <v>6.8179976</v>
      </c>
      <c r="G14">
        <v>0.9</v>
      </c>
      <c r="H14">
        <v>1.4119999999999999</v>
      </c>
      <c r="I14">
        <v>6</v>
      </c>
      <c r="J14" t="s">
        <v>17</v>
      </c>
      <c r="K14" s="1" t="s">
        <v>18</v>
      </c>
      <c r="L14" s="1" t="s">
        <v>19</v>
      </c>
    </row>
    <row r="15" spans="1:12" x14ac:dyDescent="0.25">
      <c r="A15" t="s">
        <v>9</v>
      </c>
      <c r="B15">
        <v>89</v>
      </c>
      <c r="C15" t="s">
        <v>10</v>
      </c>
      <c r="D15" t="s">
        <v>11</v>
      </c>
      <c r="E15">
        <v>-7.1105649</v>
      </c>
      <c r="F15">
        <v>6.6127874999999996</v>
      </c>
      <c r="G15">
        <v>0.77400000000000002</v>
      </c>
      <c r="H15">
        <v>1.724</v>
      </c>
      <c r="I15">
        <v>115</v>
      </c>
      <c r="J15" t="s">
        <v>17</v>
      </c>
      <c r="K15" s="1" t="s">
        <v>18</v>
      </c>
      <c r="L15" s="1" t="s">
        <v>19</v>
      </c>
    </row>
    <row r="16" spans="1:12" x14ac:dyDescent="0.25">
      <c r="A16" t="s">
        <v>9</v>
      </c>
      <c r="B16">
        <v>9</v>
      </c>
      <c r="C16" t="s">
        <v>10</v>
      </c>
      <c r="D16" t="s">
        <v>11</v>
      </c>
      <c r="E16">
        <v>-5.0292557999999996</v>
      </c>
      <c r="F16">
        <v>6.9907743</v>
      </c>
      <c r="G16">
        <v>0.85699999999999998</v>
      </c>
      <c r="H16">
        <v>1.5269999999999999</v>
      </c>
      <c r="I16">
        <v>14</v>
      </c>
      <c r="J16" t="s">
        <v>17</v>
      </c>
      <c r="K16" s="1" t="s">
        <v>18</v>
      </c>
      <c r="L16" s="1" t="s">
        <v>19</v>
      </c>
    </row>
    <row r="17" spans="1:12" x14ac:dyDescent="0.25">
      <c r="A17">
        <v>151000</v>
      </c>
      <c r="B17">
        <v>4</v>
      </c>
      <c r="C17" t="s">
        <v>10</v>
      </c>
      <c r="D17" t="s">
        <v>25</v>
      </c>
      <c r="E17">
        <v>-19.280873</v>
      </c>
      <c r="F17">
        <v>12.445027</v>
      </c>
      <c r="I17">
        <v>2</v>
      </c>
      <c r="J17" t="s">
        <v>17</v>
      </c>
      <c r="K17" s="1" t="s">
        <v>18</v>
      </c>
      <c r="L17" t="s">
        <v>26</v>
      </c>
    </row>
    <row r="18" spans="1:12" x14ac:dyDescent="0.25">
      <c r="A18">
        <v>151000</v>
      </c>
      <c r="B18">
        <v>54</v>
      </c>
      <c r="C18" t="s">
        <v>10</v>
      </c>
      <c r="D18" t="s">
        <v>25</v>
      </c>
      <c r="E18">
        <v>-16.252397999999999</v>
      </c>
      <c r="F18">
        <v>12.445027</v>
      </c>
      <c r="I18">
        <v>11</v>
      </c>
      <c r="J18" t="s">
        <v>17</v>
      </c>
      <c r="K18" s="1" t="s">
        <v>18</v>
      </c>
      <c r="L18" t="s">
        <v>26</v>
      </c>
    </row>
    <row r="19" spans="1:12" x14ac:dyDescent="0.25">
      <c r="A19">
        <v>151000</v>
      </c>
      <c r="B19">
        <v>63</v>
      </c>
      <c r="C19" t="s">
        <v>10</v>
      </c>
      <c r="D19" t="s">
        <v>25</v>
      </c>
      <c r="E19">
        <v>-18.923352999999999</v>
      </c>
      <c r="F19">
        <v>12.445027</v>
      </c>
      <c r="I19">
        <v>4</v>
      </c>
      <c r="J19" t="s">
        <v>17</v>
      </c>
      <c r="K19" s="1" t="s">
        <v>18</v>
      </c>
      <c r="L19" t="s">
        <v>26</v>
      </c>
    </row>
    <row r="20" spans="1:12" x14ac:dyDescent="0.25">
      <c r="A20">
        <v>151000</v>
      </c>
      <c r="B20">
        <v>87</v>
      </c>
      <c r="C20" t="s">
        <v>10</v>
      </c>
      <c r="D20" t="s">
        <v>25</v>
      </c>
      <c r="E20">
        <v>-18.762671000000001</v>
      </c>
      <c r="F20">
        <v>12.445027</v>
      </c>
      <c r="I20">
        <v>3</v>
      </c>
      <c r="J20" t="s">
        <v>17</v>
      </c>
      <c r="K20" s="1" t="s">
        <v>18</v>
      </c>
      <c r="L20" t="s">
        <v>26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7D4A-7C4C-4B70-813B-4B675D809F69}">
  <dimension ref="A1:R31"/>
  <sheetViews>
    <sheetView workbookViewId="0">
      <selection activeCell="T23" sqref="T2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21</v>
      </c>
      <c r="M1" t="s">
        <v>22</v>
      </c>
      <c r="Q1" t="s">
        <v>23</v>
      </c>
      <c r="R1" t="s">
        <v>24</v>
      </c>
    </row>
    <row r="2" spans="1:18" x14ac:dyDescent="0.25">
      <c r="A2" t="s">
        <v>9</v>
      </c>
      <c r="B2" t="s">
        <v>9</v>
      </c>
      <c r="C2" t="s">
        <v>20</v>
      </c>
      <c r="D2" t="s">
        <v>11</v>
      </c>
      <c r="E2">
        <v>3.7158186</v>
      </c>
      <c r="F2">
        <v>-13.491630000000001</v>
      </c>
      <c r="G2">
        <v>0.95299999999999996</v>
      </c>
      <c r="H2">
        <v>3.0390000000000001</v>
      </c>
      <c r="I2">
        <v>855</v>
      </c>
      <c r="K2">
        <v>0.95499999999999996</v>
      </c>
      <c r="M2">
        <f>K2-G2</f>
        <v>2.0000000000000018E-3</v>
      </c>
    </row>
    <row r="3" spans="1:18" x14ac:dyDescent="0.25">
      <c r="A3" t="s">
        <v>9</v>
      </c>
      <c r="B3">
        <v>14</v>
      </c>
      <c r="C3" t="s">
        <v>20</v>
      </c>
      <c r="D3" t="s">
        <v>11</v>
      </c>
      <c r="E3">
        <v>3.5216663000000001</v>
      </c>
      <c r="F3">
        <v>-9.7530029000000003</v>
      </c>
      <c r="G3">
        <v>0.95899999999999996</v>
      </c>
      <c r="H3">
        <v>2.1619999999999999</v>
      </c>
      <c r="I3">
        <v>332</v>
      </c>
      <c r="K3">
        <v>0.96599999999999997</v>
      </c>
      <c r="M3">
        <f t="shared" ref="M3:M30" si="0">K3-G3</f>
        <v>7.0000000000000062E-3</v>
      </c>
      <c r="Q3">
        <f>G3*I3</f>
        <v>318.38799999999998</v>
      </c>
      <c r="R3">
        <f>K3*I3</f>
        <v>320.71199999999999</v>
      </c>
    </row>
    <row r="4" spans="1:18" x14ac:dyDescent="0.25">
      <c r="A4" t="s">
        <v>9</v>
      </c>
      <c r="B4">
        <v>16</v>
      </c>
      <c r="C4" t="s">
        <v>20</v>
      </c>
      <c r="D4" t="s">
        <v>11</v>
      </c>
      <c r="E4">
        <v>3.1536681999999998</v>
      </c>
      <c r="F4">
        <v>-7.9965808999999997</v>
      </c>
      <c r="G4">
        <v>0.84099999999999997</v>
      </c>
      <c r="H4">
        <v>1.649</v>
      </c>
      <c r="I4">
        <v>50</v>
      </c>
      <c r="K4">
        <v>0.84699999999999998</v>
      </c>
      <c r="M4">
        <f t="shared" si="0"/>
        <v>6.0000000000000053E-3</v>
      </c>
      <c r="Q4">
        <f t="shared" ref="Q4:Q13" si="1">G4*I4</f>
        <v>42.05</v>
      </c>
      <c r="R4">
        <f t="shared" ref="R4:R13" si="2">K4*I4</f>
        <v>42.35</v>
      </c>
    </row>
    <row r="5" spans="1:18" x14ac:dyDescent="0.25">
      <c r="A5" t="s">
        <v>9</v>
      </c>
      <c r="B5">
        <v>23</v>
      </c>
      <c r="C5" t="s">
        <v>20</v>
      </c>
      <c r="D5" t="s">
        <v>11</v>
      </c>
      <c r="E5">
        <v>2.8453496999999999</v>
      </c>
      <c r="F5">
        <v>-5.4442941999999999</v>
      </c>
      <c r="G5">
        <v>0.84</v>
      </c>
      <c r="H5">
        <v>1.1299999999999999</v>
      </c>
      <c r="I5">
        <v>15</v>
      </c>
      <c r="K5">
        <v>0.83199999999999996</v>
      </c>
      <c r="M5">
        <f t="shared" si="0"/>
        <v>-8.0000000000000071E-3</v>
      </c>
      <c r="Q5">
        <f t="shared" si="1"/>
        <v>12.6</v>
      </c>
      <c r="R5">
        <f t="shared" si="2"/>
        <v>12.479999999999999</v>
      </c>
    </row>
    <row r="6" spans="1:18" x14ac:dyDescent="0.25">
      <c r="A6" t="s">
        <v>9</v>
      </c>
      <c r="B6">
        <v>28</v>
      </c>
      <c r="C6" t="s">
        <v>20</v>
      </c>
      <c r="D6" t="s">
        <v>11</v>
      </c>
      <c r="E6">
        <v>2.5664861999999999</v>
      </c>
      <c r="F6">
        <v>-4.1893694999999997</v>
      </c>
      <c r="G6">
        <v>0.60899999999999999</v>
      </c>
      <c r="H6">
        <v>1.379</v>
      </c>
      <c r="I6">
        <v>157</v>
      </c>
      <c r="K6">
        <v>0.61299999999999999</v>
      </c>
      <c r="M6">
        <f t="shared" si="0"/>
        <v>4.0000000000000036E-3</v>
      </c>
      <c r="Q6">
        <f t="shared" si="1"/>
        <v>95.613</v>
      </c>
      <c r="R6">
        <f t="shared" si="2"/>
        <v>96.241</v>
      </c>
    </row>
    <row r="7" spans="1:18" x14ac:dyDescent="0.25">
      <c r="A7" t="s">
        <v>9</v>
      </c>
      <c r="B7">
        <v>39</v>
      </c>
      <c r="C7" t="s">
        <v>20</v>
      </c>
      <c r="D7" t="s">
        <v>11</v>
      </c>
      <c r="E7">
        <v>2.6566122000000001</v>
      </c>
      <c r="F7">
        <v>-4.7555661000000002</v>
      </c>
      <c r="G7">
        <v>0.46700000000000003</v>
      </c>
      <c r="H7">
        <v>1.2350000000000001</v>
      </c>
      <c r="I7">
        <v>10</v>
      </c>
      <c r="K7">
        <v>0.47399999999999998</v>
      </c>
      <c r="M7">
        <f t="shared" si="0"/>
        <v>6.9999999999999507E-3</v>
      </c>
      <c r="Q7">
        <f t="shared" si="1"/>
        <v>4.67</v>
      </c>
      <c r="R7">
        <f t="shared" si="2"/>
        <v>4.74</v>
      </c>
    </row>
    <row r="8" spans="1:18" x14ac:dyDescent="0.25">
      <c r="A8" t="s">
        <v>9</v>
      </c>
      <c r="B8">
        <v>51</v>
      </c>
      <c r="C8" t="s">
        <v>20</v>
      </c>
      <c r="D8" t="s">
        <v>11</v>
      </c>
      <c r="E8">
        <v>3.6984899000000002</v>
      </c>
      <c r="F8">
        <v>-7.4707433999999999</v>
      </c>
      <c r="G8">
        <v>0.42899999999999999</v>
      </c>
      <c r="H8">
        <v>1.248</v>
      </c>
      <c r="I8">
        <v>106</v>
      </c>
      <c r="K8">
        <v>0.42099999999999999</v>
      </c>
      <c r="M8">
        <f t="shared" si="0"/>
        <v>-8.0000000000000071E-3</v>
      </c>
      <c r="Q8">
        <f t="shared" si="1"/>
        <v>45.473999999999997</v>
      </c>
      <c r="R8">
        <f t="shared" si="2"/>
        <v>44.625999999999998</v>
      </c>
    </row>
    <row r="9" spans="1:18" x14ac:dyDescent="0.25">
      <c r="A9" t="s">
        <v>9</v>
      </c>
      <c r="B9">
        <v>77</v>
      </c>
      <c r="C9" t="s">
        <v>20</v>
      </c>
      <c r="D9" t="s">
        <v>11</v>
      </c>
      <c r="E9">
        <v>2.8695322999999999</v>
      </c>
      <c r="F9">
        <v>-5.8104174000000004</v>
      </c>
      <c r="G9">
        <v>0.71</v>
      </c>
      <c r="H9">
        <v>1.8939999999999999</v>
      </c>
      <c r="I9">
        <v>18</v>
      </c>
      <c r="K9">
        <v>0.71399999999999997</v>
      </c>
      <c r="M9">
        <f t="shared" si="0"/>
        <v>4.0000000000000036E-3</v>
      </c>
      <c r="Q9">
        <f t="shared" si="1"/>
        <v>12.78</v>
      </c>
      <c r="R9">
        <f t="shared" si="2"/>
        <v>12.852</v>
      </c>
    </row>
    <row r="10" spans="1:18" x14ac:dyDescent="0.25">
      <c r="A10" t="s">
        <v>9</v>
      </c>
      <c r="B10">
        <v>81</v>
      </c>
      <c r="C10" t="s">
        <v>20</v>
      </c>
      <c r="D10" t="s">
        <v>11</v>
      </c>
      <c r="E10">
        <v>3.0271148999999999</v>
      </c>
      <c r="F10">
        <v>-7.7284332999999998</v>
      </c>
      <c r="G10">
        <v>0.91200000000000003</v>
      </c>
      <c r="H10">
        <v>1.2270000000000001</v>
      </c>
      <c r="I10">
        <v>8</v>
      </c>
      <c r="K10">
        <v>0.91200000000000003</v>
      </c>
      <c r="M10">
        <f t="shared" si="0"/>
        <v>0</v>
      </c>
      <c r="Q10">
        <f t="shared" si="1"/>
        <v>7.2960000000000003</v>
      </c>
      <c r="R10">
        <f t="shared" si="2"/>
        <v>7.2960000000000003</v>
      </c>
    </row>
    <row r="11" spans="1:18" x14ac:dyDescent="0.25">
      <c r="A11" t="s">
        <v>9</v>
      </c>
      <c r="B11">
        <v>86</v>
      </c>
      <c r="C11" t="s">
        <v>20</v>
      </c>
      <c r="D11" t="s">
        <v>11</v>
      </c>
      <c r="E11">
        <v>3.1136826000000002</v>
      </c>
      <c r="F11">
        <v>-6.0483699</v>
      </c>
      <c r="G11">
        <v>0.92100000000000004</v>
      </c>
      <c r="H11">
        <v>1.262</v>
      </c>
      <c r="I11">
        <v>6</v>
      </c>
      <c r="K11">
        <v>0.9</v>
      </c>
      <c r="M11">
        <f t="shared" si="0"/>
        <v>-2.1000000000000019E-2</v>
      </c>
      <c r="Q11">
        <f t="shared" si="1"/>
        <v>5.5259999999999998</v>
      </c>
      <c r="R11">
        <f t="shared" si="2"/>
        <v>5.4</v>
      </c>
    </row>
    <row r="12" spans="1:18" x14ac:dyDescent="0.25">
      <c r="A12" t="s">
        <v>9</v>
      </c>
      <c r="B12">
        <v>89</v>
      </c>
      <c r="C12" t="s">
        <v>20</v>
      </c>
      <c r="D12" t="s">
        <v>11</v>
      </c>
      <c r="E12">
        <v>2.9619518</v>
      </c>
      <c r="F12">
        <v>-8.5951889999999995</v>
      </c>
      <c r="G12">
        <v>0.76700000000000002</v>
      </c>
      <c r="H12">
        <v>1.7490000000000001</v>
      </c>
      <c r="I12">
        <v>115</v>
      </c>
      <c r="K12">
        <v>0.77400000000000002</v>
      </c>
      <c r="M12">
        <f t="shared" si="0"/>
        <v>7.0000000000000062E-3</v>
      </c>
      <c r="Q12">
        <f t="shared" si="1"/>
        <v>88.204999999999998</v>
      </c>
      <c r="R12">
        <f t="shared" si="2"/>
        <v>89.01</v>
      </c>
    </row>
    <row r="13" spans="1:18" x14ac:dyDescent="0.25">
      <c r="A13" t="s">
        <v>9</v>
      </c>
      <c r="B13">
        <v>9</v>
      </c>
      <c r="C13" t="s">
        <v>20</v>
      </c>
      <c r="D13" t="s">
        <v>11</v>
      </c>
      <c r="E13">
        <v>3.1517647000000002</v>
      </c>
      <c r="F13">
        <v>-7.4845351999999998</v>
      </c>
      <c r="G13">
        <v>0.85799999999999998</v>
      </c>
      <c r="H13">
        <v>1.5249999999999999</v>
      </c>
      <c r="I13">
        <v>14</v>
      </c>
      <c r="K13">
        <v>0.85699999999999998</v>
      </c>
      <c r="M13">
        <f t="shared" si="0"/>
        <v>-1.0000000000000009E-3</v>
      </c>
      <c r="Q13">
        <f t="shared" si="1"/>
        <v>12.012</v>
      </c>
      <c r="R13">
        <f t="shared" si="2"/>
        <v>11.997999999999999</v>
      </c>
    </row>
    <row r="14" spans="1:18" x14ac:dyDescent="0.25">
      <c r="A14">
        <v>151000</v>
      </c>
      <c r="B14">
        <v>13</v>
      </c>
      <c r="C14" t="s">
        <v>20</v>
      </c>
      <c r="D14" t="s">
        <v>12</v>
      </c>
      <c r="E14">
        <v>3.3640146</v>
      </c>
      <c r="F14">
        <v>-13.491630000000001</v>
      </c>
      <c r="I14">
        <v>3</v>
      </c>
      <c r="M14">
        <f t="shared" si="0"/>
        <v>0</v>
      </c>
      <c r="Q14">
        <f>SUM(Q3:Q13)</f>
        <v>644.61400000000003</v>
      </c>
      <c r="R14">
        <f>SUM(R3:R13)</f>
        <v>647.70500000000004</v>
      </c>
    </row>
    <row r="15" spans="1:18" x14ac:dyDescent="0.25">
      <c r="A15">
        <v>151000</v>
      </c>
      <c r="B15">
        <v>14</v>
      </c>
      <c r="C15" t="s">
        <v>20</v>
      </c>
      <c r="D15" t="s">
        <v>13</v>
      </c>
      <c r="E15">
        <v>3.5216663000000001</v>
      </c>
      <c r="F15">
        <v>-9.7530029000000003</v>
      </c>
      <c r="G15">
        <v>0.95899999999999996</v>
      </c>
      <c r="H15">
        <v>2.1619999999999999</v>
      </c>
      <c r="I15">
        <v>332</v>
      </c>
      <c r="K15">
        <v>0.96599999999999997</v>
      </c>
      <c r="M15">
        <f t="shared" si="0"/>
        <v>7.0000000000000062E-3</v>
      </c>
    </row>
    <row r="16" spans="1:18" x14ac:dyDescent="0.25">
      <c r="A16">
        <v>151000</v>
      </c>
      <c r="B16">
        <v>16</v>
      </c>
      <c r="C16" t="s">
        <v>20</v>
      </c>
      <c r="D16" t="s">
        <v>13</v>
      </c>
      <c r="E16">
        <v>3.1536681999999998</v>
      </c>
      <c r="F16">
        <v>-7.9965808999999997</v>
      </c>
      <c r="G16">
        <v>0.84099999999999997</v>
      </c>
      <c r="H16">
        <v>1.649</v>
      </c>
      <c r="I16">
        <v>50</v>
      </c>
      <c r="K16">
        <v>0.84699999999999998</v>
      </c>
      <c r="M16">
        <f t="shared" si="0"/>
        <v>6.0000000000000053E-3</v>
      </c>
    </row>
    <row r="17" spans="1:13" x14ac:dyDescent="0.25">
      <c r="A17">
        <v>151000</v>
      </c>
      <c r="B17">
        <v>23</v>
      </c>
      <c r="C17" t="s">
        <v>20</v>
      </c>
      <c r="D17" t="s">
        <v>13</v>
      </c>
      <c r="E17">
        <v>2.8453496999999999</v>
      </c>
      <c r="F17">
        <v>-5.4442941999999999</v>
      </c>
      <c r="G17">
        <v>0.84</v>
      </c>
      <c r="H17">
        <v>1.1299999999999999</v>
      </c>
      <c r="I17">
        <v>15</v>
      </c>
      <c r="K17">
        <v>0.83199999999999996</v>
      </c>
      <c r="M17">
        <f t="shared" si="0"/>
        <v>-8.0000000000000071E-3</v>
      </c>
    </row>
    <row r="18" spans="1:13" x14ac:dyDescent="0.25">
      <c r="A18">
        <v>151000</v>
      </c>
      <c r="B18">
        <v>28</v>
      </c>
      <c r="C18" t="s">
        <v>20</v>
      </c>
      <c r="D18" t="s">
        <v>13</v>
      </c>
      <c r="E18">
        <v>2.5664861999999999</v>
      </c>
      <c r="F18">
        <v>-4.1893694999999997</v>
      </c>
      <c r="G18">
        <v>0.60899999999999999</v>
      </c>
      <c r="H18">
        <v>1.379</v>
      </c>
      <c r="I18">
        <v>157</v>
      </c>
      <c r="K18">
        <v>0.61299999999999999</v>
      </c>
      <c r="M18">
        <f t="shared" si="0"/>
        <v>4.0000000000000036E-3</v>
      </c>
    </row>
    <row r="19" spans="1:13" x14ac:dyDescent="0.25">
      <c r="A19">
        <v>151000</v>
      </c>
      <c r="B19">
        <v>39</v>
      </c>
      <c r="C19" t="s">
        <v>20</v>
      </c>
      <c r="D19" t="s">
        <v>13</v>
      </c>
      <c r="E19">
        <v>2.6566122000000001</v>
      </c>
      <c r="F19">
        <v>-4.7555661000000002</v>
      </c>
      <c r="G19">
        <v>0.46700000000000003</v>
      </c>
      <c r="H19">
        <v>1.2350000000000001</v>
      </c>
      <c r="I19">
        <v>10</v>
      </c>
      <c r="K19">
        <v>0.47399999999999998</v>
      </c>
      <c r="M19">
        <f t="shared" si="0"/>
        <v>6.9999999999999507E-3</v>
      </c>
    </row>
    <row r="20" spans="1:13" x14ac:dyDescent="0.25">
      <c r="A20">
        <v>151000</v>
      </c>
      <c r="B20">
        <v>4</v>
      </c>
      <c r="C20" t="s">
        <v>20</v>
      </c>
      <c r="D20" t="s">
        <v>12</v>
      </c>
      <c r="E20">
        <v>3.4730794</v>
      </c>
      <c r="F20">
        <v>-13.491630000000001</v>
      </c>
      <c r="I20">
        <v>2</v>
      </c>
      <c r="M20">
        <f t="shared" si="0"/>
        <v>0</v>
      </c>
    </row>
    <row r="21" spans="1:13" x14ac:dyDescent="0.25">
      <c r="A21">
        <v>151000</v>
      </c>
      <c r="B21">
        <v>41</v>
      </c>
      <c r="C21" t="s">
        <v>20</v>
      </c>
      <c r="D21" t="s">
        <v>12</v>
      </c>
      <c r="E21">
        <v>3.8664467</v>
      </c>
      <c r="F21">
        <v>-13.491630000000001</v>
      </c>
      <c r="I21">
        <v>1</v>
      </c>
      <c r="M21">
        <f t="shared" si="0"/>
        <v>0</v>
      </c>
    </row>
    <row r="22" spans="1:13" x14ac:dyDescent="0.25">
      <c r="A22">
        <v>151000</v>
      </c>
      <c r="B22">
        <v>51</v>
      </c>
      <c r="C22" t="s">
        <v>20</v>
      </c>
      <c r="D22" t="s">
        <v>13</v>
      </c>
      <c r="E22">
        <v>3.6984899000000002</v>
      </c>
      <c r="F22">
        <v>-7.4707433999999999</v>
      </c>
      <c r="G22">
        <v>0.42899999999999999</v>
      </c>
      <c r="H22">
        <v>1.248</v>
      </c>
      <c r="I22">
        <v>106</v>
      </c>
      <c r="K22">
        <v>0.42099999999999999</v>
      </c>
      <c r="M22">
        <f t="shared" si="0"/>
        <v>-8.0000000000000071E-3</v>
      </c>
    </row>
    <row r="23" spans="1:13" x14ac:dyDescent="0.25">
      <c r="A23">
        <v>151000</v>
      </c>
      <c r="B23">
        <v>54</v>
      </c>
      <c r="C23" t="s">
        <v>20</v>
      </c>
      <c r="D23" t="s">
        <v>12</v>
      </c>
      <c r="E23">
        <v>4.0648860000000004</v>
      </c>
      <c r="F23">
        <v>-13.491630000000001</v>
      </c>
      <c r="I23">
        <v>11</v>
      </c>
      <c r="M23">
        <f t="shared" si="0"/>
        <v>0</v>
      </c>
    </row>
    <row r="24" spans="1:13" x14ac:dyDescent="0.25">
      <c r="A24">
        <v>151000</v>
      </c>
      <c r="B24">
        <v>63</v>
      </c>
      <c r="C24" t="s">
        <v>20</v>
      </c>
      <c r="D24" t="s">
        <v>12</v>
      </c>
      <c r="E24">
        <v>3.6233070999999999</v>
      </c>
      <c r="F24">
        <v>-13.491630000000001</v>
      </c>
      <c r="I24">
        <v>4</v>
      </c>
      <c r="M24">
        <f t="shared" si="0"/>
        <v>0</v>
      </c>
    </row>
    <row r="25" spans="1:13" x14ac:dyDescent="0.25">
      <c r="A25">
        <v>151000</v>
      </c>
      <c r="B25">
        <v>77</v>
      </c>
      <c r="C25" t="s">
        <v>20</v>
      </c>
      <c r="D25" t="s">
        <v>13</v>
      </c>
      <c r="E25">
        <v>2.8695322999999999</v>
      </c>
      <c r="F25">
        <v>-5.8104174000000004</v>
      </c>
      <c r="G25">
        <v>0.71</v>
      </c>
      <c r="H25">
        <v>1.8939999999999999</v>
      </c>
      <c r="I25">
        <v>18</v>
      </c>
      <c r="K25">
        <v>0.71399999999999997</v>
      </c>
      <c r="M25">
        <f t="shared" si="0"/>
        <v>4.0000000000000036E-3</v>
      </c>
    </row>
    <row r="26" spans="1:13" x14ac:dyDescent="0.25">
      <c r="A26">
        <v>151000</v>
      </c>
      <c r="B26">
        <v>81</v>
      </c>
      <c r="C26" t="s">
        <v>20</v>
      </c>
      <c r="D26" t="s">
        <v>13</v>
      </c>
      <c r="E26">
        <v>3.0271148999999999</v>
      </c>
      <c r="F26">
        <v>-7.7284332999999998</v>
      </c>
      <c r="G26">
        <v>0.91200000000000003</v>
      </c>
      <c r="H26">
        <v>1.2270000000000001</v>
      </c>
      <c r="I26">
        <v>8</v>
      </c>
      <c r="K26">
        <v>0.91200000000000003</v>
      </c>
      <c r="M26">
        <f t="shared" si="0"/>
        <v>0</v>
      </c>
    </row>
    <row r="27" spans="1:13" x14ac:dyDescent="0.25">
      <c r="A27">
        <v>151000</v>
      </c>
      <c r="B27">
        <v>86</v>
      </c>
      <c r="C27" t="s">
        <v>20</v>
      </c>
      <c r="D27" t="s">
        <v>13</v>
      </c>
      <c r="E27">
        <v>3.1136826000000002</v>
      </c>
      <c r="F27">
        <v>-6.0483699</v>
      </c>
      <c r="G27">
        <v>0.92100000000000004</v>
      </c>
      <c r="H27">
        <v>1.262</v>
      </c>
      <c r="I27">
        <v>6</v>
      </c>
      <c r="K27">
        <v>0.9</v>
      </c>
      <c r="M27">
        <f t="shared" si="0"/>
        <v>-2.1000000000000019E-2</v>
      </c>
    </row>
    <row r="28" spans="1:13" x14ac:dyDescent="0.25">
      <c r="A28">
        <v>151000</v>
      </c>
      <c r="B28">
        <v>87</v>
      </c>
      <c r="C28" t="s">
        <v>20</v>
      </c>
      <c r="D28" t="s">
        <v>12</v>
      </c>
      <c r="E28">
        <v>3.6184302000000002</v>
      </c>
      <c r="F28">
        <v>-13.491630000000001</v>
      </c>
      <c r="I28">
        <v>3</v>
      </c>
      <c r="M28">
        <f t="shared" si="0"/>
        <v>0</v>
      </c>
    </row>
    <row r="29" spans="1:13" x14ac:dyDescent="0.25">
      <c r="A29">
        <v>151000</v>
      </c>
      <c r="B29">
        <v>89</v>
      </c>
      <c r="C29" t="s">
        <v>20</v>
      </c>
      <c r="D29" t="s">
        <v>13</v>
      </c>
      <c r="E29">
        <v>2.9619518</v>
      </c>
      <c r="F29">
        <v>-8.5951889999999995</v>
      </c>
      <c r="G29">
        <v>0.76700000000000002</v>
      </c>
      <c r="H29">
        <v>1.7490000000000001</v>
      </c>
      <c r="I29">
        <v>115</v>
      </c>
      <c r="K29">
        <v>0.77400000000000002</v>
      </c>
      <c r="M29">
        <f t="shared" si="0"/>
        <v>7.0000000000000062E-3</v>
      </c>
    </row>
    <row r="30" spans="1:13" x14ac:dyDescent="0.25">
      <c r="A30">
        <v>151000</v>
      </c>
      <c r="B30">
        <v>9</v>
      </c>
      <c r="C30" t="s">
        <v>20</v>
      </c>
      <c r="D30" t="s">
        <v>13</v>
      </c>
      <c r="E30">
        <v>3.1517647000000002</v>
      </c>
      <c r="F30">
        <v>-7.4845351999999998</v>
      </c>
      <c r="G30">
        <v>0.85799999999999998</v>
      </c>
      <c r="H30">
        <v>1.5249999999999999</v>
      </c>
      <c r="I30">
        <v>14</v>
      </c>
      <c r="K30">
        <v>0.85699999999999998</v>
      </c>
      <c r="M30">
        <f t="shared" si="0"/>
        <v>-1.0000000000000009E-3</v>
      </c>
    </row>
    <row r="31" spans="1:13" x14ac:dyDescent="0.25">
      <c r="K31">
        <f>SUM(K2:K30)</f>
        <v>17.574999999999999</v>
      </c>
    </row>
  </sheetData>
  <conditionalFormatting sqref="M1:M3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log</vt:lpstr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2021-07-20T13:34:53Z</dcterms:modified>
</cp:coreProperties>
</file>